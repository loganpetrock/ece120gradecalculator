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ro\Downloads\"/>
    </mc:Choice>
  </mc:AlternateContent>
  <xr:revisionPtr revIDLastSave="0" documentId="13_ncr:1_{8595ED49-D4FF-4D35-B05C-9E8481CAFDCF}" xr6:coauthVersionLast="47" xr6:coauthVersionMax="47" xr10:uidLastSave="{00000000-0000-0000-0000-000000000000}"/>
  <bookViews>
    <workbookView xWindow="-120" yWindow="-120" windowWidth="29040" windowHeight="15720" xr2:uid="{39051AE0-60BC-49C2-890C-21CB6E12BA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17" i="1" s="1"/>
  <c r="D19" i="1" s="1"/>
  <c r="D14" i="1"/>
  <c r="D9" i="1"/>
  <c r="D8" i="1"/>
  <c r="D7" i="1"/>
  <c r="D6" i="1"/>
  <c r="D15" i="1" s="1"/>
  <c r="D5" i="1"/>
  <c r="D4" i="1"/>
  <c r="D18" i="1" s="1"/>
  <c r="D10" i="1" l="1"/>
  <c r="D11" i="1"/>
  <c r="D16" i="1"/>
</calcChain>
</file>

<file path=xl/sharedStrings.xml><?xml version="1.0" encoding="utf-8"?>
<sst xmlns="http://schemas.openxmlformats.org/spreadsheetml/2006/main" count="50" uniqueCount="48">
  <si>
    <t>ECE120 Grade Calculator</t>
  </si>
  <si>
    <t>Midterm 1 (10%)</t>
  </si>
  <si>
    <t>Midterm 2 (15%)</t>
  </si>
  <si>
    <t>Midterm 3 (15%)</t>
  </si>
  <si>
    <t>Final Exam (20%)</t>
  </si>
  <si>
    <t>Score</t>
  </si>
  <si>
    <t>Extra Credit Opportunities</t>
  </si>
  <si>
    <t>In the "Score" column, enter your grade as a percentage out of 100.</t>
  </si>
  <si>
    <t>Contribution to Overall Grade</t>
  </si>
  <si>
    <t>ONLY EDIT CELLS THAT ARE THIS COLOR --&gt;</t>
  </si>
  <si>
    <t>Homework Average (10%)</t>
  </si>
  <si>
    <t>Labs Average (20%)</t>
  </si>
  <si>
    <t>Discussion WS Average (10%)</t>
  </si>
  <si>
    <t>Final Grade (Before Extra Credit)</t>
  </si>
  <si>
    <t>Final Grade (after Extra Credit)</t>
  </si>
  <si>
    <t>Total Extra Credit</t>
  </si>
  <si>
    <t>Final Grade Cutoffs</t>
  </si>
  <si>
    <t>B+</t>
  </si>
  <si>
    <t>B-</t>
  </si>
  <si>
    <t>B</t>
  </si>
  <si>
    <t>A+</t>
  </si>
  <si>
    <t xml:space="preserve">A </t>
  </si>
  <si>
    <t>93-96.99</t>
  </si>
  <si>
    <t>A-</t>
  </si>
  <si>
    <t>90-92.99</t>
  </si>
  <si>
    <t>87-89.99</t>
  </si>
  <si>
    <t>83-86.99</t>
  </si>
  <si>
    <t>80-82.99</t>
  </si>
  <si>
    <t>C+</t>
  </si>
  <si>
    <t>C</t>
  </si>
  <si>
    <t>C-</t>
  </si>
  <si>
    <t>D+</t>
  </si>
  <si>
    <t>D</t>
  </si>
  <si>
    <t>D-</t>
  </si>
  <si>
    <t>F</t>
  </si>
  <si>
    <t>97-100</t>
  </si>
  <si>
    <t>77-79.99</t>
  </si>
  <si>
    <t>73-76.99</t>
  </si>
  <si>
    <t>70-72.99</t>
  </si>
  <si>
    <t>67-69.99</t>
  </si>
  <si>
    <t>63-66.99</t>
  </si>
  <si>
    <t>60-62.99</t>
  </si>
  <si>
    <t>&lt;60</t>
  </si>
  <si>
    <t>Cache Coherence Quiz (Max +1% Exam)</t>
  </si>
  <si>
    <t>Counters Quiz (Max +1% Lab)</t>
  </si>
  <si>
    <t>Carry Look-Ahead Adder Quiz (Max +1% HW)</t>
  </si>
  <si>
    <t>Pre Lecture Quizzes (Max +2% Exam)</t>
  </si>
  <si>
    <t>In-Class Pop Quizzes (Max +1% Independent of Caps)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</si>
</sst>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3B3B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2" fontId="0" fillId="2" borderId="0" xfId="0" applyNumberFormat="1" applyFill="1"/>
    <xf numFmtId="0" fontId="0" fillId="2" borderId="3" xfId="0" applyFill="1" applyBorder="1"/>
    <xf numFmtId="0" fontId="0" fillId="4" borderId="3" xfId="0" applyFill="1" applyBorder="1"/>
    <xf numFmtId="0" fontId="0" fillId="4" borderId="5" xfId="0" applyFill="1" applyBorder="1"/>
    <xf numFmtId="2" fontId="0" fillId="7" borderId="4" xfId="0" applyNumberFormat="1" applyFill="1" applyBorder="1"/>
    <xf numFmtId="2" fontId="0" fillId="7" borderId="10" xfId="0" applyNumberFormat="1" applyFill="1" applyBorder="1"/>
    <xf numFmtId="0" fontId="0" fillId="6" borderId="8" xfId="0" applyFill="1" applyBorder="1"/>
    <xf numFmtId="0" fontId="0" fillId="6" borderId="10" xfId="0" applyFill="1" applyBorder="1"/>
    <xf numFmtId="10" fontId="0" fillId="2" borderId="4" xfId="1" applyNumberFormat="1" applyFont="1" applyFill="1" applyBorder="1"/>
    <xf numFmtId="10" fontId="0" fillId="6" borderId="9" xfId="1" applyNumberFormat="1" applyFont="1" applyFill="1" applyBorder="1"/>
    <xf numFmtId="10" fontId="0" fillId="6" borderId="10" xfId="1" applyNumberFormat="1" applyFont="1" applyFill="1" applyBorder="1"/>
    <xf numFmtId="0" fontId="0" fillId="3" borderId="1" xfId="0" applyFill="1" applyBorder="1" applyAlignment="1">
      <alignment wrapText="1"/>
    </xf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4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7" xfId="0" applyFill="1" applyBorder="1"/>
    <xf numFmtId="0" fontId="2" fillId="2" borderId="8" xfId="0" applyFont="1" applyFill="1" applyBorder="1" applyAlignment="1">
      <alignment horizontal="center" wrapText="1"/>
    </xf>
    <xf numFmtId="0" fontId="2" fillId="2" borderId="9" xfId="0" applyFont="1" applyFill="1" applyBorder="1" applyAlignment="1">
      <alignment horizontal="center" wrapText="1"/>
    </xf>
    <xf numFmtId="0" fontId="2" fillId="2" borderId="10" xfId="0" applyFont="1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4" fillId="2" borderId="12" xfId="0" applyFont="1" applyFill="1" applyBorder="1" applyAlignment="1">
      <alignment horizontal="center" wrapText="1"/>
    </xf>
    <xf numFmtId="0" fontId="4" fillId="2" borderId="11" xfId="0" applyFont="1" applyFill="1" applyBorder="1" applyAlignment="1">
      <alignment horizontal="center" wrapText="1"/>
    </xf>
    <xf numFmtId="0" fontId="3" fillId="5" borderId="12" xfId="0" applyFont="1" applyFill="1" applyBorder="1"/>
    <xf numFmtId="0" fontId="3" fillId="5" borderId="13" xfId="0" applyFont="1" applyFill="1" applyBorder="1"/>
    <xf numFmtId="0" fontId="3" fillId="5" borderId="11" xfId="0" applyFont="1" applyFill="1" applyBorder="1"/>
    <xf numFmtId="0" fontId="3" fillId="3" borderId="5" xfId="0" applyFont="1" applyFill="1" applyBorder="1"/>
    <xf numFmtId="2" fontId="3" fillId="3" borderId="6" xfId="0" applyNumberFormat="1" applyFont="1" applyFill="1" applyBorder="1"/>
    <xf numFmtId="10" fontId="3" fillId="3" borderId="7" xfId="1" applyNumberFormat="1" applyFont="1" applyFill="1" applyBorder="1"/>
    <xf numFmtId="0" fontId="3" fillId="3" borderId="6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3B3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F650D-099C-4C14-9D13-C6EDC2ED1B5C}">
  <dimension ref="B1:G24"/>
  <sheetViews>
    <sheetView tabSelected="1" zoomScale="115" zoomScaleNormal="115" workbookViewId="0">
      <selection activeCell="H9" sqref="H9"/>
    </sheetView>
  </sheetViews>
  <sheetFormatPr defaultRowHeight="15" x14ac:dyDescent="0.25"/>
  <cols>
    <col min="2" max="2" width="47.42578125" customWidth="1"/>
    <col min="4" max="4" width="26.7109375" customWidth="1"/>
    <col min="6" max="6" width="22" customWidth="1"/>
    <col min="8" max="8" width="12.7109375" customWidth="1"/>
    <col min="10" max="10" width="9.140625" customWidth="1"/>
  </cols>
  <sheetData>
    <row r="1" spans="2:7" ht="15.75" thickBot="1" x14ac:dyDescent="0.3"/>
    <row r="2" spans="2:7" ht="15.75" thickBot="1" x14ac:dyDescent="0.3">
      <c r="B2" s="28" t="s">
        <v>0</v>
      </c>
      <c r="C2" s="29" t="s">
        <v>5</v>
      </c>
      <c r="D2" s="30" t="s">
        <v>8</v>
      </c>
    </row>
    <row r="3" spans="2:7" x14ac:dyDescent="0.25">
      <c r="B3" s="3" t="s">
        <v>10</v>
      </c>
      <c r="C3" s="10">
        <v>0.9</v>
      </c>
      <c r="D3" s="5">
        <f>C3*0.1*100</f>
        <v>9.0000000000000018</v>
      </c>
      <c r="F3" s="21" t="s">
        <v>7</v>
      </c>
    </row>
    <row r="4" spans="2:7" x14ac:dyDescent="0.25">
      <c r="B4" s="3" t="s">
        <v>11</v>
      </c>
      <c r="C4" s="10">
        <v>0.9</v>
      </c>
      <c r="D4" s="5">
        <f>C4*0.2*100</f>
        <v>18.000000000000004</v>
      </c>
      <c r="F4" s="22"/>
    </row>
    <row r="5" spans="2:7" ht="15.75" thickBot="1" x14ac:dyDescent="0.3">
      <c r="B5" s="3" t="s">
        <v>12</v>
      </c>
      <c r="C5" s="10">
        <v>0.9</v>
      </c>
      <c r="D5" s="5">
        <f>C5*0.1*100</f>
        <v>9.0000000000000018</v>
      </c>
      <c r="F5" s="23"/>
    </row>
    <row r="6" spans="2:7" ht="15.75" thickBot="1" x14ac:dyDescent="0.3">
      <c r="B6" s="3" t="s">
        <v>1</v>
      </c>
      <c r="C6" s="10">
        <v>0.9</v>
      </c>
      <c r="D6" s="5">
        <f>C6*0.1*100</f>
        <v>9.0000000000000018</v>
      </c>
    </row>
    <row r="7" spans="2:7" x14ac:dyDescent="0.25">
      <c r="B7" s="3" t="s">
        <v>2</v>
      </c>
      <c r="C7" s="10">
        <v>0.9</v>
      </c>
      <c r="D7" s="5">
        <f>C7*0.15*100</f>
        <v>13.5</v>
      </c>
      <c r="F7" s="24" t="s">
        <v>9</v>
      </c>
      <c r="G7" s="7"/>
    </row>
    <row r="8" spans="2:7" ht="15.75" thickBot="1" x14ac:dyDescent="0.3">
      <c r="B8" s="3" t="s">
        <v>3</v>
      </c>
      <c r="C8" s="10">
        <v>0.9</v>
      </c>
      <c r="D8" s="5">
        <f>C8*0.15*100</f>
        <v>13.5</v>
      </c>
      <c r="F8" s="25"/>
      <c r="G8" s="8"/>
    </row>
    <row r="9" spans="2:7" ht="15.75" thickBot="1" x14ac:dyDescent="0.3">
      <c r="B9" s="4" t="s">
        <v>4</v>
      </c>
      <c r="C9" s="11">
        <v>0.9</v>
      </c>
      <c r="D9" s="6">
        <f>C9*0.2*100</f>
        <v>18.000000000000004</v>
      </c>
    </row>
    <row r="10" spans="2:7" ht="15.75" thickBot="1" x14ac:dyDescent="0.3">
      <c r="B10" s="2" t="s">
        <v>13</v>
      </c>
      <c r="C10" s="1"/>
      <c r="D10" s="9">
        <f>SUM(D3:D9)/100</f>
        <v>0.9</v>
      </c>
    </row>
    <row r="11" spans="2:7" ht="15.75" thickBot="1" x14ac:dyDescent="0.3">
      <c r="B11" s="31" t="s">
        <v>14</v>
      </c>
      <c r="C11" s="32"/>
      <c r="D11" s="33">
        <f>(SUM(D3:D9)+SUM(D14:D18))/100</f>
        <v>0.95400000000000007</v>
      </c>
      <c r="F11" s="26" t="s">
        <v>16</v>
      </c>
      <c r="G11" s="27"/>
    </row>
    <row r="12" spans="2:7" ht="15.75" thickBot="1" x14ac:dyDescent="0.3">
      <c r="F12" s="12" t="s">
        <v>20</v>
      </c>
      <c r="G12" s="13" t="s">
        <v>35</v>
      </c>
    </row>
    <row r="13" spans="2:7" ht="15.75" thickBot="1" x14ac:dyDescent="0.3">
      <c r="B13" s="28" t="s">
        <v>6</v>
      </c>
      <c r="C13" s="29" t="s">
        <v>5</v>
      </c>
      <c r="D13" s="30" t="s">
        <v>8</v>
      </c>
      <c r="F13" s="14" t="s">
        <v>21</v>
      </c>
      <c r="G13" s="15" t="s">
        <v>22</v>
      </c>
    </row>
    <row r="14" spans="2:7" x14ac:dyDescent="0.25">
      <c r="B14" s="3" t="s">
        <v>47</v>
      </c>
      <c r="C14" s="10">
        <v>0.9</v>
      </c>
      <c r="D14" s="5">
        <f>MIN(C14*0.01, 1)*100</f>
        <v>0.90000000000000013</v>
      </c>
      <c r="F14" s="14" t="s">
        <v>23</v>
      </c>
      <c r="G14" s="15" t="s">
        <v>24</v>
      </c>
    </row>
    <row r="15" spans="2:7" x14ac:dyDescent="0.25">
      <c r="B15" s="3" t="s">
        <v>46</v>
      </c>
      <c r="C15" s="10">
        <v>0.9</v>
      </c>
      <c r="D15" s="5">
        <f>MIN(C15*0.02*(60-(D6+D7+D8+D9)), 2, C15*0.02)*100</f>
        <v>1.8000000000000003</v>
      </c>
      <c r="F15" s="14" t="s">
        <v>17</v>
      </c>
      <c r="G15" s="15" t="s">
        <v>25</v>
      </c>
    </row>
    <row r="16" spans="2:7" x14ac:dyDescent="0.25">
      <c r="B16" s="3" t="s">
        <v>43</v>
      </c>
      <c r="C16" s="10">
        <v>0.9</v>
      </c>
      <c r="D16" s="5">
        <f>MIN(C16*0.01*(60-(D6+D7+D8+D9)), 1, C16*0.01)*100</f>
        <v>0.90000000000000013</v>
      </c>
      <c r="F16" s="14" t="s">
        <v>19</v>
      </c>
      <c r="G16" s="15" t="s">
        <v>26</v>
      </c>
    </row>
    <row r="17" spans="2:7" x14ac:dyDescent="0.25">
      <c r="B17" s="3" t="s">
        <v>45</v>
      </c>
      <c r="C17" s="10">
        <v>0.9</v>
      </c>
      <c r="D17" s="5">
        <f>MIN(C17*0.01*(10-D3), 1, C17*0.01)*100</f>
        <v>0.89999999999999858</v>
      </c>
      <c r="F17" s="14" t="s">
        <v>18</v>
      </c>
      <c r="G17" s="15" t="s">
        <v>27</v>
      </c>
    </row>
    <row r="18" spans="2:7" ht="15.75" thickBot="1" x14ac:dyDescent="0.3">
      <c r="B18" s="4" t="s">
        <v>44</v>
      </c>
      <c r="C18" s="11">
        <v>0.9</v>
      </c>
      <c r="D18" s="6">
        <f>MIN(C18*0.01*(20-D4), 1, C18*0.01)*100</f>
        <v>0.90000000000000013</v>
      </c>
      <c r="F18" s="2" t="s">
        <v>28</v>
      </c>
      <c r="G18" s="16" t="s">
        <v>36</v>
      </c>
    </row>
    <row r="19" spans="2:7" ht="15.75" thickBot="1" x14ac:dyDescent="0.3">
      <c r="B19" s="31" t="s">
        <v>15</v>
      </c>
      <c r="C19" s="34"/>
      <c r="D19" s="33">
        <f>SUM(D14:D18)/100</f>
        <v>5.3999999999999992E-2</v>
      </c>
      <c r="F19" s="2" t="s">
        <v>29</v>
      </c>
      <c r="G19" s="16" t="s">
        <v>37</v>
      </c>
    </row>
    <row r="20" spans="2:7" x14ac:dyDescent="0.25">
      <c r="F20" s="2" t="s">
        <v>30</v>
      </c>
      <c r="G20" s="16" t="s">
        <v>38</v>
      </c>
    </row>
    <row r="21" spans="2:7" x14ac:dyDescent="0.25">
      <c r="F21" s="17" t="s">
        <v>31</v>
      </c>
      <c r="G21" s="18" t="s">
        <v>39</v>
      </c>
    </row>
    <row r="22" spans="2:7" x14ac:dyDescent="0.25">
      <c r="F22" s="17" t="s">
        <v>32</v>
      </c>
      <c r="G22" s="18" t="s">
        <v>40</v>
      </c>
    </row>
    <row r="23" spans="2:7" x14ac:dyDescent="0.25">
      <c r="F23" s="17" t="s">
        <v>33</v>
      </c>
      <c r="G23" s="18" t="s">
        <v>41</v>
      </c>
    </row>
    <row r="24" spans="2:7" ht="15.75" thickBot="1" x14ac:dyDescent="0.3">
      <c r="F24" s="19" t="s">
        <v>34</v>
      </c>
      <c r="G24" s="20" t="s">
        <v>42</v>
      </c>
    </row>
  </sheetData>
  <mergeCells count="3">
    <mergeCell ref="F11:G11"/>
    <mergeCell ref="F3:F5"/>
    <mergeCell ref="F7:F8"/>
  </mergeCells>
  <pageMargins left="0.7" right="0.7" top="0.75" bottom="0.75" header="0.3" footer="0.3"/>
  <ignoredErrors>
    <ignoredError sqref="D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Petrock, Logan Connor</dc:creator>
  <cp:lastModifiedBy>Petrock, Logan Connor</cp:lastModifiedBy>
  <dcterms:created xsi:type="dcterms:W3CDTF">2025-12-04T08:31:26Z</dcterms:created>
  <dcterms:modified xsi:type="dcterms:W3CDTF">2025-12-04T09:04:53Z</dcterms:modified>
</cp:coreProperties>
</file>