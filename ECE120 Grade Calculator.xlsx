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ro\Downloads\"/>
    </mc:Choice>
  </mc:AlternateContent>
  <xr:revisionPtr revIDLastSave="0" documentId="13_ncr:1_{9A5E0CE3-3E4F-46F9-B50B-9FFF0444B323}" xr6:coauthVersionLast="47" xr6:coauthVersionMax="47" xr10:uidLastSave="{00000000-0000-0000-0000-000000000000}"/>
  <bookViews>
    <workbookView xWindow="-120" yWindow="-120" windowWidth="29040" windowHeight="15720" activeTab="1" xr2:uid="{39051AE0-60BC-49C2-890C-21CB6E12BA73}"/>
  </bookViews>
  <sheets>
    <sheet name="MAIN CALCULATOR" sheetId="1" r:id="rId1"/>
    <sheet name="HW AVG CALCULATOR" sheetId="2" r:id="rId2"/>
    <sheet name="LAB AVG CALCULATO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3" l="1"/>
  <c r="L17" i="3" s="1"/>
  <c r="G18" i="3"/>
  <c r="L16" i="3" s="1"/>
  <c r="G17" i="3"/>
  <c r="L14" i="3" s="1"/>
  <c r="G16" i="3"/>
  <c r="G15" i="3"/>
  <c r="L12" i="3" s="1"/>
  <c r="G13" i="3"/>
  <c r="L11" i="3" s="1"/>
  <c r="G14" i="3"/>
  <c r="G12" i="3"/>
  <c r="G11" i="3"/>
  <c r="G10" i="3"/>
  <c r="G9" i="3"/>
  <c r="L7" i="3" s="1"/>
  <c r="G8" i="3"/>
  <c r="L6" i="3" s="1"/>
  <c r="G7" i="3"/>
  <c r="L5" i="3" s="1"/>
  <c r="G9" i="2"/>
  <c r="L13" i="3"/>
  <c r="L15" i="3"/>
  <c r="L10" i="3"/>
  <c r="L9" i="3"/>
  <c r="L8" i="3"/>
  <c r="D5" i="1"/>
  <c r="D19" i="1" s="1"/>
  <c r="J16" i="2"/>
  <c r="J17" i="2"/>
  <c r="J13" i="2"/>
  <c r="J7" i="2"/>
  <c r="J5" i="2"/>
  <c r="J4" i="2"/>
  <c r="E7" i="2"/>
  <c r="J8" i="2" s="1"/>
  <c r="E8" i="2"/>
  <c r="J9" i="2" s="1"/>
  <c r="E9" i="2"/>
  <c r="J10" i="2" s="1"/>
  <c r="E10" i="2"/>
  <c r="J11" i="2" s="1"/>
  <c r="E11" i="2"/>
  <c r="J12" i="2" s="1"/>
  <c r="E12" i="2"/>
  <c r="E13" i="2"/>
  <c r="J14" i="2" s="1"/>
  <c r="E14" i="2"/>
  <c r="J15" i="2" s="1"/>
  <c r="E15" i="2"/>
  <c r="E16" i="2"/>
  <c r="E6" i="2"/>
  <c r="J6" i="2" s="1"/>
  <c r="D16" i="1"/>
  <c r="D11" i="1"/>
  <c r="D10" i="1"/>
  <c r="D9" i="1"/>
  <c r="D8" i="1"/>
  <c r="D7" i="1"/>
  <c r="D6" i="1"/>
  <c r="D20" i="1" s="1"/>
  <c r="I11" i="3" l="1"/>
  <c r="D17" i="1"/>
  <c r="D12" i="1"/>
  <c r="D18" i="1"/>
  <c r="D21" i="1" l="1"/>
  <c r="D13" i="1"/>
</calcChain>
</file>

<file path=xl/sharedStrings.xml><?xml version="1.0" encoding="utf-8"?>
<sst xmlns="http://schemas.openxmlformats.org/spreadsheetml/2006/main" count="132" uniqueCount="128">
  <si>
    <t>ECE120 Grade Calculator</t>
  </si>
  <si>
    <t>Midterm 1 (10%)</t>
  </si>
  <si>
    <t>Midterm 2 (15%)</t>
  </si>
  <si>
    <t>Midterm 3 (15%)</t>
  </si>
  <si>
    <t>Final Exam (20%)</t>
  </si>
  <si>
    <t>Score</t>
  </si>
  <si>
    <t>Extra Credit Opportunities</t>
  </si>
  <si>
    <t>In the "Score" column, enter your grade as a percentage out of 100.</t>
  </si>
  <si>
    <t>Contribution to Overall Grade</t>
  </si>
  <si>
    <t>Final Grade (Before Extra Credit)</t>
  </si>
  <si>
    <t>Final Grade (after Extra Credit)</t>
  </si>
  <si>
    <t>Total Extra Credit</t>
  </si>
  <si>
    <t>Final Grade Cutoffs</t>
  </si>
  <si>
    <t>B+</t>
  </si>
  <si>
    <t>B-</t>
  </si>
  <si>
    <t>B</t>
  </si>
  <si>
    <t>A+</t>
  </si>
  <si>
    <t xml:space="preserve">A </t>
  </si>
  <si>
    <t>93-96.99</t>
  </si>
  <si>
    <t>A-</t>
  </si>
  <si>
    <t>90-92.99</t>
  </si>
  <si>
    <t>87-89.99</t>
  </si>
  <si>
    <t>83-86.99</t>
  </si>
  <si>
    <t>80-82.99</t>
  </si>
  <si>
    <t>C+</t>
  </si>
  <si>
    <t>C</t>
  </si>
  <si>
    <t>C-</t>
  </si>
  <si>
    <t>D+</t>
  </si>
  <si>
    <t>D</t>
  </si>
  <si>
    <t>D-</t>
  </si>
  <si>
    <t>F</t>
  </si>
  <si>
    <t>97-100</t>
  </si>
  <si>
    <t>77-79.99</t>
  </si>
  <si>
    <t>73-76.99</t>
  </si>
  <si>
    <t>70-72.99</t>
  </si>
  <si>
    <t>67-69.99</t>
  </si>
  <si>
    <t>63-66.99</t>
  </si>
  <si>
    <t>60-62.99</t>
  </si>
  <si>
    <t>&lt;60</t>
  </si>
  <si>
    <t>Cache Coherence Quiz (Max +1% Exam)</t>
  </si>
  <si>
    <t>Counters Quiz (Max +1% Lab)</t>
  </si>
  <si>
    <t>Carry Look-Ahead Adder Quiz (Max +1% HW)</t>
  </si>
  <si>
    <t>Pre Lecture Quizzes (Max +2% Exam)</t>
  </si>
  <si>
    <t>In-Class Pop Quizzes (Max +1% Independent of Caps)</t>
  </si>
  <si>
    <t>HW3 (90pts)</t>
  </si>
  <si>
    <t>HW5 (10pts)</t>
  </si>
  <si>
    <t>HW6 (64pts)</t>
  </si>
  <si>
    <t>HW7 (56pts)</t>
  </si>
  <si>
    <t>HW8 (67pts)</t>
  </si>
  <si>
    <t>HW9 (100pts)</t>
  </si>
  <si>
    <t>HW10 (100pts)</t>
  </si>
  <si>
    <t>HW11 (60pts)</t>
  </si>
  <si>
    <t>HW12 (30pts)</t>
  </si>
  <si>
    <t>HW13 (65pts)</t>
  </si>
  <si>
    <t>HW14</t>
  </si>
  <si>
    <t>HW1</t>
  </si>
  <si>
    <t>HW2</t>
  </si>
  <si>
    <t>HW4</t>
  </si>
  <si>
    <t>Gradescope Assignments</t>
  </si>
  <si>
    <t>HW5</t>
  </si>
  <si>
    <t>HW11</t>
  </si>
  <si>
    <t>HW12</t>
  </si>
  <si>
    <t>HW13</t>
  </si>
  <si>
    <t>PrairieLearn Assignments</t>
  </si>
  <si>
    <t>Original Grade (pts)</t>
  </si>
  <si>
    <t>Corrections Grade (pts)</t>
  </si>
  <si>
    <t>Average Gradescope Grade (pts)</t>
  </si>
  <si>
    <t>Score (%)</t>
  </si>
  <si>
    <t>Overall HW Average</t>
  </si>
  <si>
    <t>HW3</t>
  </si>
  <si>
    <t>HW6</t>
  </si>
  <si>
    <t>HW7</t>
  </si>
  <si>
    <t>HW8</t>
  </si>
  <si>
    <t>HW9</t>
  </si>
  <si>
    <t>HW10</t>
  </si>
  <si>
    <t>HW4 (75pts)</t>
  </si>
  <si>
    <t>HW1 (72pts)</t>
  </si>
  <si>
    <t>HW2 (65pts)</t>
  </si>
  <si>
    <t>HW11 (20pts)</t>
  </si>
  <si>
    <t>HW12 (12pts)</t>
  </si>
  <si>
    <t>HW13 (10pts)</t>
  </si>
  <si>
    <t>HW5 (30pts)</t>
  </si>
  <si>
    <t>HW14 (40pts)</t>
  </si>
  <si>
    <t>ONLY EDIT CELLS THAT ARE THIS COLOR</t>
  </si>
  <si>
    <t>Category</t>
  </si>
  <si>
    <t>Homework (10%)</t>
  </si>
  <si>
    <t>Labs (20%)</t>
  </si>
  <si>
    <t>Discussion Worksheets (10%)</t>
  </si>
  <si>
    <t>Average Homework Grade Calculator</t>
  </si>
  <si>
    <t>Average Grade on Each HW</t>
  </si>
  <si>
    <t>If you didn't do corrections on a homework assignment (you got full pts on the original attempt) you can leave the corrections grade for that assignment blank.</t>
  </si>
  <si>
    <t>Average Lab Grade Calculator</t>
  </si>
  <si>
    <t>Lab</t>
  </si>
  <si>
    <t>Final Grade (pts)</t>
  </si>
  <si>
    <t>Lab1</t>
  </si>
  <si>
    <t>Lab2</t>
  </si>
  <si>
    <t>Lab3</t>
  </si>
  <si>
    <t>Lab4</t>
  </si>
  <si>
    <t>Lab5</t>
  </si>
  <si>
    <t>Lab6</t>
  </si>
  <si>
    <t>Lab7</t>
  </si>
  <si>
    <t>Lab8</t>
  </si>
  <si>
    <t>Lab9</t>
  </si>
  <si>
    <t>Lab10</t>
  </si>
  <si>
    <t>Lab11</t>
  </si>
  <si>
    <t>Lab12</t>
  </si>
  <si>
    <t>Lab13</t>
  </si>
  <si>
    <t>1st Deadline Grade (100%)</t>
  </si>
  <si>
    <t>2nd Deadline Grade (80%)</t>
  </si>
  <si>
    <t>3rd Deadline Grade (50%)</t>
  </si>
  <si>
    <t>Lab1 (16pts)</t>
  </si>
  <si>
    <t>Lab2 (19pts)</t>
  </si>
  <si>
    <t>Lab3 (8pts)</t>
  </si>
  <si>
    <t>Lab5 (16pts)</t>
  </si>
  <si>
    <t>Lab7 (48pts)</t>
  </si>
  <si>
    <t>Lab9 (1pt)</t>
  </si>
  <si>
    <t>Lab10 (20pts)</t>
  </si>
  <si>
    <t>Lab11 (2pts)</t>
  </si>
  <si>
    <t>Lab12 (2pts)</t>
  </si>
  <si>
    <t>Lab13 (10(?)pts)</t>
  </si>
  <si>
    <t>Percentage Grade for Each Lab</t>
  </si>
  <si>
    <t>Overall Lab Average</t>
  </si>
  <si>
    <t>Lab4 (25pts) (hardware)</t>
  </si>
  <si>
    <t>Lab6 (35pts) (hardware)</t>
  </si>
  <si>
    <t>Lab8 (45pts) (hardware)</t>
  </si>
  <si>
    <t>Feel free to leave the 2nd and 3rd deadline grades blank if you scored the highest on your original attempt.</t>
  </si>
  <si>
    <t>Droppable</t>
  </si>
  <si>
    <t>Undroppable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</si>
</sst>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3B3B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6">
    <xf numFmtId="0" fontId="0" fillId="0" borderId="0" xfId="0"/>
    <xf numFmtId="2" fontId="0" fillId="2" borderId="0" xfId="0" applyNumberFormat="1" applyFill="1"/>
    <xf numFmtId="0" fontId="0" fillId="2" borderId="3" xfId="0" applyFill="1" applyBorder="1"/>
    <xf numFmtId="0" fontId="0" fillId="4" borderId="3" xfId="0" applyFill="1" applyBorder="1"/>
    <xf numFmtId="0" fontId="0" fillId="4" borderId="5" xfId="0" applyFill="1" applyBorder="1"/>
    <xf numFmtId="2" fontId="0" fillId="7" borderId="10" xfId="0" applyNumberFormat="1" applyFill="1" applyBorder="1"/>
    <xf numFmtId="10" fontId="0" fillId="6" borderId="9" xfId="1" applyNumberFormat="1" applyFont="1" applyFill="1" applyBorder="1"/>
    <xf numFmtId="10" fontId="0" fillId="6" borderId="10" xfId="1" applyNumberFormat="1" applyFont="1" applyFill="1" applyBorder="1"/>
    <xf numFmtId="0" fontId="0" fillId="3" borderId="1" xfId="0" applyFill="1" applyBorder="1" applyAlignment="1">
      <alignment wrapText="1"/>
    </xf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2" borderId="4" xfId="0" applyFill="1" applyBorder="1"/>
    <xf numFmtId="0" fontId="0" fillId="8" borderId="3" xfId="0" applyFill="1" applyBorder="1"/>
    <xf numFmtId="0" fontId="0" fillId="8" borderId="4" xfId="0" applyFill="1" applyBorder="1"/>
    <xf numFmtId="0" fontId="0" fillId="8" borderId="5" xfId="0" applyFill="1" applyBorder="1"/>
    <xf numFmtId="0" fontId="0" fillId="8" borderId="7" xfId="0" applyFill="1" applyBorder="1"/>
    <xf numFmtId="0" fontId="3" fillId="3" borderId="5" xfId="0" applyFont="1" applyFill="1" applyBorder="1"/>
    <xf numFmtId="2" fontId="3" fillId="3" borderId="6" xfId="0" applyNumberFormat="1" applyFont="1" applyFill="1" applyBorder="1"/>
    <xf numFmtId="10" fontId="3" fillId="3" borderId="7" xfId="1" applyNumberFormat="1" applyFont="1" applyFill="1" applyBorder="1"/>
    <xf numFmtId="0" fontId="3" fillId="3" borderId="6" xfId="0" applyFont="1" applyFill="1" applyBorder="1"/>
    <xf numFmtId="0" fontId="0" fillId="9" borderId="9" xfId="0" applyFill="1" applyBorder="1"/>
    <xf numFmtId="0" fontId="0" fillId="9" borderId="10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2" fontId="0" fillId="7" borderId="8" xfId="0" applyNumberFormat="1" applyFill="1" applyBorder="1"/>
    <xf numFmtId="2" fontId="0" fillId="7" borderId="9" xfId="0" applyNumberFormat="1" applyFill="1" applyBorder="1"/>
    <xf numFmtId="2" fontId="0" fillId="9" borderId="8" xfId="0" applyNumberFormat="1" applyFill="1" applyBorder="1"/>
    <xf numFmtId="2" fontId="0" fillId="9" borderId="9" xfId="0" applyNumberFormat="1" applyFill="1" applyBorder="1"/>
    <xf numFmtId="2" fontId="0" fillId="9" borderId="10" xfId="0" applyNumberFormat="1" applyFill="1" applyBorder="1"/>
    <xf numFmtId="9" fontId="0" fillId="9" borderId="8" xfId="1" applyFont="1" applyFill="1" applyBorder="1"/>
    <xf numFmtId="9" fontId="0" fillId="9" borderId="9" xfId="1" applyFont="1" applyFill="1" applyBorder="1"/>
    <xf numFmtId="9" fontId="0" fillId="9" borderId="10" xfId="1" applyFont="1" applyFill="1" applyBorder="1"/>
    <xf numFmtId="10" fontId="0" fillId="7" borderId="8" xfId="0" applyNumberFormat="1" applyFill="1" applyBorder="1"/>
    <xf numFmtId="10" fontId="0" fillId="7" borderId="9" xfId="0" applyNumberFormat="1" applyFill="1" applyBorder="1"/>
    <xf numFmtId="10" fontId="0" fillId="7" borderId="9" xfId="1" applyNumberFormat="1" applyFont="1" applyFill="1" applyBorder="1"/>
    <xf numFmtId="10" fontId="0" fillId="7" borderId="10" xfId="1" applyNumberFormat="1" applyFont="1" applyFill="1" applyBorder="1"/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164" fontId="0" fillId="7" borderId="4" xfId="0" applyNumberFormat="1" applyFill="1" applyBorder="1"/>
    <xf numFmtId="164" fontId="0" fillId="7" borderId="10" xfId="0" applyNumberFormat="1" applyFill="1" applyBorder="1"/>
    <xf numFmtId="165" fontId="0" fillId="2" borderId="4" xfId="1" applyNumberFormat="1" applyFont="1" applyFill="1" applyBorder="1"/>
    <xf numFmtId="165" fontId="3" fillId="3" borderId="7" xfId="1" applyNumberFormat="1" applyFont="1" applyFill="1" applyBorder="1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14" xfId="0" applyBorder="1"/>
    <xf numFmtId="0" fontId="4" fillId="2" borderId="12" xfId="0" applyFont="1" applyFill="1" applyBorder="1" applyAlignment="1">
      <alignment horizontal="center" wrapText="1"/>
    </xf>
    <xf numFmtId="0" fontId="4" fillId="2" borderId="11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9" borderId="10" xfId="0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10" fontId="3" fillId="7" borderId="8" xfId="1" applyNumberFormat="1" applyFont="1" applyFill="1" applyBorder="1" applyAlignment="1">
      <alignment horizontal="center" vertical="center"/>
    </xf>
    <xf numFmtId="10" fontId="3" fillId="7" borderId="10" xfId="1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0" fillId="0" borderId="0" xfId="0" applyBorder="1"/>
    <xf numFmtId="0" fontId="0" fillId="10" borderId="9" xfId="0" applyFill="1" applyBorder="1"/>
    <xf numFmtId="9" fontId="0" fillId="7" borderId="8" xfId="1" applyFont="1" applyFill="1" applyBorder="1"/>
    <xf numFmtId="9" fontId="0" fillId="7" borderId="9" xfId="1" applyFont="1" applyFill="1" applyBorder="1"/>
    <xf numFmtId="9" fontId="0" fillId="7" borderId="10" xfId="1" applyFont="1" applyFill="1" applyBorder="1"/>
    <xf numFmtId="9" fontId="3" fillId="7" borderId="8" xfId="1" applyFont="1" applyFill="1" applyBorder="1" applyAlignment="1">
      <alignment horizontal="center" vertical="center"/>
    </xf>
    <xf numFmtId="9" fontId="3" fillId="7" borderId="10" xfId="1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 vertical="center"/>
    </xf>
    <xf numFmtId="10" fontId="0" fillId="0" borderId="0" xfId="0" applyNumberFormat="1"/>
    <xf numFmtId="0" fontId="0" fillId="11" borderId="8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3B3B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F650D-099C-4C14-9D13-C6EDC2ED1B5C}">
  <dimension ref="B2:G26"/>
  <sheetViews>
    <sheetView zoomScaleNormal="100" workbookViewId="0">
      <selection activeCell="I12" sqref="I12"/>
    </sheetView>
  </sheetViews>
  <sheetFormatPr defaultRowHeight="18.75" customHeight="1" x14ac:dyDescent="0.25"/>
  <cols>
    <col min="2" max="2" width="47.42578125" customWidth="1"/>
    <col min="4" max="4" width="30.5703125" customWidth="1"/>
    <col min="6" max="6" width="22" customWidth="1"/>
    <col min="8" max="8" width="12.7109375" customWidth="1"/>
    <col min="10" max="10" width="9.140625" customWidth="1"/>
  </cols>
  <sheetData>
    <row r="2" spans="2:7" ht="18.75" customHeight="1" thickBot="1" x14ac:dyDescent="0.3"/>
    <row r="3" spans="2:7" ht="18.75" customHeight="1" thickBot="1" x14ac:dyDescent="0.3">
      <c r="B3" s="55" t="s">
        <v>0</v>
      </c>
      <c r="C3" s="79"/>
      <c r="D3" s="56"/>
    </row>
    <row r="4" spans="2:7" ht="18.75" customHeight="1" thickBot="1" x14ac:dyDescent="0.3">
      <c r="B4" s="38" t="s">
        <v>84</v>
      </c>
      <c r="C4" s="39" t="s">
        <v>5</v>
      </c>
      <c r="D4" s="40" t="s">
        <v>8</v>
      </c>
    </row>
    <row r="5" spans="2:7" ht="18.75" customHeight="1" x14ac:dyDescent="0.25">
      <c r="B5" s="3" t="s">
        <v>85</v>
      </c>
      <c r="C5" s="6">
        <v>0.99439999999999995</v>
      </c>
      <c r="D5" s="41">
        <f>C5*0.1*100</f>
        <v>9.9440000000000008</v>
      </c>
      <c r="F5" s="50" t="s">
        <v>7</v>
      </c>
    </row>
    <row r="6" spans="2:7" ht="18.75" customHeight="1" x14ac:dyDescent="0.25">
      <c r="B6" s="3" t="s">
        <v>86</v>
      </c>
      <c r="C6" s="6">
        <v>1</v>
      </c>
      <c r="D6" s="41">
        <f>C6*0.2*100</f>
        <v>20</v>
      </c>
      <c r="F6" s="51"/>
    </row>
    <row r="7" spans="2:7" ht="18.75" customHeight="1" thickBot="1" x14ac:dyDescent="0.3">
      <c r="B7" s="3" t="s">
        <v>87</v>
      </c>
      <c r="C7" s="6">
        <v>0.995</v>
      </c>
      <c r="D7" s="41">
        <f>C7*0.1*100</f>
        <v>9.9500000000000011</v>
      </c>
      <c r="F7" s="52"/>
    </row>
    <row r="8" spans="2:7" ht="18.75" customHeight="1" thickBot="1" x14ac:dyDescent="0.3">
      <c r="B8" s="3" t="s">
        <v>1</v>
      </c>
      <c r="C8" s="6">
        <v>0.95499999999999996</v>
      </c>
      <c r="D8" s="41">
        <f>C8*0.1*100</f>
        <v>9.5500000000000007</v>
      </c>
    </row>
    <row r="9" spans="2:7" ht="18.75" customHeight="1" x14ac:dyDescent="0.25">
      <c r="B9" s="3" t="s">
        <v>2</v>
      </c>
      <c r="C9" s="6">
        <v>0.94</v>
      </c>
      <c r="D9" s="41">
        <f>C9*0.15*100</f>
        <v>14.099999999999998</v>
      </c>
      <c r="F9" s="53" t="s">
        <v>83</v>
      </c>
    </row>
    <row r="10" spans="2:7" ht="18.75" customHeight="1" thickBot="1" x14ac:dyDescent="0.3">
      <c r="B10" s="3" t="s">
        <v>3</v>
      </c>
      <c r="C10" s="6">
        <v>0.87</v>
      </c>
      <c r="D10" s="41">
        <f>C10*0.15*100</f>
        <v>13.05</v>
      </c>
      <c r="F10" s="54"/>
    </row>
    <row r="11" spans="2:7" ht="18.75" customHeight="1" thickBot="1" x14ac:dyDescent="0.3">
      <c r="B11" s="4" t="s">
        <v>4</v>
      </c>
      <c r="C11" s="7">
        <v>0.9</v>
      </c>
      <c r="D11" s="42">
        <f>C11*0.2*100</f>
        <v>18.000000000000004</v>
      </c>
    </row>
    <row r="12" spans="2:7" ht="18.75" customHeight="1" thickBot="1" x14ac:dyDescent="0.3">
      <c r="B12" s="2" t="s">
        <v>9</v>
      </c>
      <c r="C12" s="1"/>
      <c r="D12" s="43">
        <f>SUM(D5:D11)/100</f>
        <v>0.94593999999999989</v>
      </c>
    </row>
    <row r="13" spans="2:7" ht="18.75" customHeight="1" thickBot="1" x14ac:dyDescent="0.3">
      <c r="B13" s="17" t="s">
        <v>10</v>
      </c>
      <c r="C13" s="18"/>
      <c r="D13" s="44">
        <f>(SUM(D5:D11)+SUM(D16:D20))/100</f>
        <v>0.97589399999999993</v>
      </c>
      <c r="F13" s="48" t="s">
        <v>12</v>
      </c>
      <c r="G13" s="49"/>
    </row>
    <row r="14" spans="2:7" ht="18.75" customHeight="1" thickBot="1" x14ac:dyDescent="0.3">
      <c r="F14" s="8" t="s">
        <v>16</v>
      </c>
      <c r="G14" s="9" t="s">
        <v>31</v>
      </c>
    </row>
    <row r="15" spans="2:7" ht="18.75" customHeight="1" thickBot="1" x14ac:dyDescent="0.3">
      <c r="B15" s="38" t="s">
        <v>6</v>
      </c>
      <c r="C15" s="39" t="s">
        <v>5</v>
      </c>
      <c r="D15" s="40" t="s">
        <v>8</v>
      </c>
      <c r="F15" s="10" t="s">
        <v>17</v>
      </c>
      <c r="G15" s="11" t="s">
        <v>18</v>
      </c>
    </row>
    <row r="16" spans="2:7" ht="18.75" customHeight="1" x14ac:dyDescent="0.25">
      <c r="B16" s="3" t="s">
        <v>43</v>
      </c>
      <c r="C16" s="6">
        <v>0.5</v>
      </c>
      <c r="D16" s="41">
        <f>MIN(C16*0.01, 1)*100</f>
        <v>0.5</v>
      </c>
      <c r="F16" s="10" t="s">
        <v>19</v>
      </c>
      <c r="G16" s="11" t="s">
        <v>20</v>
      </c>
    </row>
    <row r="17" spans="2:7" ht="18.75" customHeight="1" x14ac:dyDescent="0.25">
      <c r="B17" s="3" t="s">
        <v>42</v>
      </c>
      <c r="C17" s="6">
        <v>0.71970000000000001</v>
      </c>
      <c r="D17" s="41">
        <f>MIN(C17*0.02*(60-(D8+D9+D10+D11)), 2, C17*0.02)*100</f>
        <v>1.4394</v>
      </c>
      <c r="F17" s="10" t="s">
        <v>13</v>
      </c>
      <c r="G17" s="11" t="s">
        <v>21</v>
      </c>
    </row>
    <row r="18" spans="2:7" ht="18.75" customHeight="1" x14ac:dyDescent="0.25">
      <c r="B18" s="3" t="s">
        <v>39</v>
      </c>
      <c r="C18" s="6">
        <v>1</v>
      </c>
      <c r="D18" s="41">
        <f>MIN(C18*0.01*(60-(D8+D9+D10+D11)), 1, C18*0.01)*100</f>
        <v>1</v>
      </c>
      <c r="F18" s="10" t="s">
        <v>15</v>
      </c>
      <c r="G18" s="11" t="s">
        <v>22</v>
      </c>
    </row>
    <row r="19" spans="2:7" ht="18.75" customHeight="1" x14ac:dyDescent="0.25">
      <c r="B19" s="3" t="s">
        <v>41</v>
      </c>
      <c r="C19" s="6">
        <v>1</v>
      </c>
      <c r="D19" s="41">
        <f>MIN(C19*0.01*(10-D5), 1, C19*0.01)*100</f>
        <v>5.5999999999999162E-2</v>
      </c>
      <c r="F19" s="10" t="s">
        <v>14</v>
      </c>
      <c r="G19" s="11" t="s">
        <v>23</v>
      </c>
    </row>
    <row r="20" spans="2:7" ht="18.75" customHeight="1" thickBot="1" x14ac:dyDescent="0.3">
      <c r="B20" s="4" t="s">
        <v>40</v>
      </c>
      <c r="C20" s="7">
        <v>1</v>
      </c>
      <c r="D20" s="42">
        <f>MIN(C20*0.01*(20-D6), 1, C20*0.01)*100</f>
        <v>0</v>
      </c>
      <c r="F20" s="2" t="s">
        <v>24</v>
      </c>
      <c r="G20" s="12" t="s">
        <v>32</v>
      </c>
    </row>
    <row r="21" spans="2:7" ht="18.75" customHeight="1" thickBot="1" x14ac:dyDescent="0.3">
      <c r="B21" s="17" t="s">
        <v>11</v>
      </c>
      <c r="C21" s="20"/>
      <c r="D21" s="19">
        <f>SUM(D16:D20)/100</f>
        <v>2.9953999999999991E-2</v>
      </c>
      <c r="F21" s="2" t="s">
        <v>25</v>
      </c>
      <c r="G21" s="12" t="s">
        <v>33</v>
      </c>
    </row>
    <row r="22" spans="2:7" ht="18.75" customHeight="1" x14ac:dyDescent="0.25">
      <c r="F22" s="2" t="s">
        <v>26</v>
      </c>
      <c r="G22" s="12" t="s">
        <v>34</v>
      </c>
    </row>
    <row r="23" spans="2:7" ht="18.75" customHeight="1" x14ac:dyDescent="0.25">
      <c r="F23" s="13" t="s">
        <v>27</v>
      </c>
      <c r="G23" s="14" t="s">
        <v>35</v>
      </c>
    </row>
    <row r="24" spans="2:7" ht="18.75" customHeight="1" x14ac:dyDescent="0.25">
      <c r="F24" s="13" t="s">
        <v>28</v>
      </c>
      <c r="G24" s="14" t="s">
        <v>36</v>
      </c>
    </row>
    <row r="25" spans="2:7" ht="18.75" customHeight="1" x14ac:dyDescent="0.25">
      <c r="F25" s="13" t="s">
        <v>29</v>
      </c>
      <c r="G25" s="14" t="s">
        <v>37</v>
      </c>
    </row>
    <row r="26" spans="2:7" ht="18.75" customHeight="1" thickBot="1" x14ac:dyDescent="0.3">
      <c r="F26" s="15" t="s">
        <v>30</v>
      </c>
      <c r="G26" s="16" t="s">
        <v>38</v>
      </c>
    </row>
  </sheetData>
  <mergeCells count="4">
    <mergeCell ref="F13:G13"/>
    <mergeCell ref="B3:D3"/>
    <mergeCell ref="F5:F7"/>
    <mergeCell ref="F9:F10"/>
  </mergeCells>
  <pageMargins left="0.7" right="0.7" top="0.75" bottom="0.75" header="0.3" footer="0.3"/>
  <ignoredErrors>
    <ignoredError sqref="D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A08CF-0A9E-4489-8331-BC3F8C2CB734}">
  <dimension ref="B2:J28"/>
  <sheetViews>
    <sheetView tabSelected="1" workbookViewId="0">
      <selection activeCell="F20" sqref="F20"/>
    </sheetView>
  </sheetViews>
  <sheetFormatPr defaultRowHeight="18.75" customHeight="1" x14ac:dyDescent="0.25"/>
  <cols>
    <col min="2" max="2" width="25.140625" customWidth="1"/>
    <col min="3" max="3" width="28.28515625" customWidth="1"/>
    <col min="4" max="4" width="23.28515625" customWidth="1"/>
    <col min="5" max="5" width="31.28515625" customWidth="1"/>
    <col min="6" max="6" width="20.85546875" customWidth="1"/>
    <col min="7" max="7" width="25.7109375" customWidth="1"/>
    <col min="10" max="10" width="26.28515625" customWidth="1"/>
  </cols>
  <sheetData>
    <row r="2" spans="2:10" ht="18.75" customHeight="1" thickBot="1" x14ac:dyDescent="0.3"/>
    <row r="3" spans="2:10" ht="18.75" customHeight="1" thickBot="1" x14ac:dyDescent="0.3">
      <c r="B3" s="57" t="s">
        <v>88</v>
      </c>
      <c r="C3" s="58"/>
      <c r="D3" s="58"/>
      <c r="E3" s="59"/>
      <c r="I3" s="55" t="s">
        <v>89</v>
      </c>
      <c r="J3" s="56"/>
    </row>
    <row r="4" spans="2:10" ht="15.75" customHeight="1" thickBot="1" x14ac:dyDescent="0.3">
      <c r="B4" s="60"/>
      <c r="C4" s="61"/>
      <c r="D4" s="61"/>
      <c r="E4" s="62"/>
      <c r="I4" s="23" t="s">
        <v>55</v>
      </c>
      <c r="J4" s="34">
        <f>C20</f>
        <v>1</v>
      </c>
    </row>
    <row r="5" spans="2:10" ht="18.75" customHeight="1" thickBot="1" x14ac:dyDescent="0.3">
      <c r="B5" s="38" t="s">
        <v>58</v>
      </c>
      <c r="C5" s="39" t="s">
        <v>64</v>
      </c>
      <c r="D5" s="39" t="s">
        <v>65</v>
      </c>
      <c r="E5" s="40" t="s">
        <v>66</v>
      </c>
      <c r="I5" s="24" t="s">
        <v>56</v>
      </c>
      <c r="J5" s="35">
        <f>C21</f>
        <v>1</v>
      </c>
    </row>
    <row r="6" spans="2:10" ht="18.75" customHeight="1" thickBot="1" x14ac:dyDescent="0.3">
      <c r="B6" s="23" t="s">
        <v>44</v>
      </c>
      <c r="C6" s="28">
        <v>88.75</v>
      </c>
      <c r="D6" s="28">
        <v>90</v>
      </c>
      <c r="E6" s="26">
        <f t="shared" ref="E6:E16" si="0">(C6+MAX(D6,C6))/2</f>
        <v>89.375</v>
      </c>
      <c r="I6" s="24" t="s">
        <v>69</v>
      </c>
      <c r="J6" s="36">
        <f>E6/90</f>
        <v>0.99305555555555558</v>
      </c>
    </row>
    <row r="7" spans="2:10" ht="18.75" customHeight="1" x14ac:dyDescent="0.25">
      <c r="B7" s="24" t="s">
        <v>45</v>
      </c>
      <c r="C7" s="29">
        <v>10</v>
      </c>
      <c r="D7" s="29"/>
      <c r="E7" s="27">
        <f t="shared" si="0"/>
        <v>10</v>
      </c>
      <c r="G7" s="65" t="s">
        <v>68</v>
      </c>
      <c r="I7" s="24" t="s">
        <v>57</v>
      </c>
      <c r="J7" s="35">
        <f>C22</f>
        <v>1</v>
      </c>
    </row>
    <row r="8" spans="2:10" ht="18.75" customHeight="1" thickBot="1" x14ac:dyDescent="0.3">
      <c r="B8" s="24" t="s">
        <v>46</v>
      </c>
      <c r="C8" s="29">
        <v>56.5</v>
      </c>
      <c r="D8" s="29">
        <v>63.5</v>
      </c>
      <c r="E8" s="27">
        <f t="shared" si="0"/>
        <v>60</v>
      </c>
      <c r="G8" s="66"/>
      <c r="I8" s="24" t="s">
        <v>59</v>
      </c>
      <c r="J8" s="36">
        <f>(E7+C23*30)/40</f>
        <v>1</v>
      </c>
    </row>
    <row r="9" spans="2:10" ht="18.75" customHeight="1" x14ac:dyDescent="0.25">
      <c r="B9" s="24" t="s">
        <v>47</v>
      </c>
      <c r="C9" s="29">
        <v>55</v>
      </c>
      <c r="D9" s="29">
        <v>56</v>
      </c>
      <c r="E9" s="27">
        <f t="shared" si="0"/>
        <v>55.5</v>
      </c>
      <c r="G9" s="63">
        <f>(SUM(J4:J17)-SMALL(J4:J17, 1)-SMALL(J4:J17,2))/12</f>
        <v>0.99942129629629628</v>
      </c>
      <c r="I9" s="24" t="s">
        <v>70</v>
      </c>
      <c r="J9" s="36">
        <f>E8/64</f>
        <v>0.9375</v>
      </c>
    </row>
    <row r="10" spans="2:10" ht="18.75" customHeight="1" thickBot="1" x14ac:dyDescent="0.3">
      <c r="B10" s="24" t="s">
        <v>48</v>
      </c>
      <c r="C10" s="29">
        <v>67</v>
      </c>
      <c r="D10" s="21"/>
      <c r="E10" s="27">
        <f t="shared" si="0"/>
        <v>67</v>
      </c>
      <c r="G10" s="64"/>
      <c r="I10" s="24" t="s">
        <v>71</v>
      </c>
      <c r="J10" s="36">
        <f>E9/56</f>
        <v>0.9910714285714286</v>
      </c>
    </row>
    <row r="11" spans="2:10" ht="18.75" customHeight="1" x14ac:dyDescent="0.25">
      <c r="B11" s="24" t="s">
        <v>49</v>
      </c>
      <c r="C11" s="29">
        <v>100</v>
      </c>
      <c r="D11" s="21"/>
      <c r="E11" s="27">
        <f t="shared" si="0"/>
        <v>100</v>
      </c>
      <c r="I11" s="24" t="s">
        <v>72</v>
      </c>
      <c r="J11" s="36">
        <f>E10/67</f>
        <v>1</v>
      </c>
    </row>
    <row r="12" spans="2:10" ht="18.75" customHeight="1" x14ac:dyDescent="0.25">
      <c r="B12" s="24" t="s">
        <v>50</v>
      </c>
      <c r="C12" s="29">
        <v>100</v>
      </c>
      <c r="D12" s="21"/>
      <c r="E12" s="27">
        <f t="shared" si="0"/>
        <v>100</v>
      </c>
      <c r="I12" s="24" t="s">
        <v>73</v>
      </c>
      <c r="J12" s="36">
        <f>E11/100</f>
        <v>1</v>
      </c>
    </row>
    <row r="13" spans="2:10" ht="18.75" customHeight="1" x14ac:dyDescent="0.25">
      <c r="B13" s="24" t="s">
        <v>51</v>
      </c>
      <c r="C13" s="29">
        <v>60</v>
      </c>
      <c r="D13" s="21"/>
      <c r="E13" s="27">
        <f t="shared" si="0"/>
        <v>60</v>
      </c>
      <c r="I13" s="24" t="s">
        <v>74</v>
      </c>
      <c r="J13" s="36">
        <f>E12/100</f>
        <v>1</v>
      </c>
    </row>
    <row r="14" spans="2:10" ht="18.75" customHeight="1" x14ac:dyDescent="0.25">
      <c r="B14" s="24" t="s">
        <v>52</v>
      </c>
      <c r="C14" s="29">
        <v>30</v>
      </c>
      <c r="D14" s="21"/>
      <c r="E14" s="27">
        <f t="shared" si="0"/>
        <v>30</v>
      </c>
      <c r="G14" s="80"/>
      <c r="I14" s="24" t="s">
        <v>60</v>
      </c>
      <c r="J14" s="36">
        <f>(E13+C24*20)/80</f>
        <v>1</v>
      </c>
    </row>
    <row r="15" spans="2:10" ht="18.75" customHeight="1" x14ac:dyDescent="0.25">
      <c r="B15" s="24" t="s">
        <v>53</v>
      </c>
      <c r="C15" s="29">
        <v>65</v>
      </c>
      <c r="D15" s="21"/>
      <c r="E15" s="27">
        <f t="shared" si="0"/>
        <v>65</v>
      </c>
      <c r="I15" s="24" t="s">
        <v>61</v>
      </c>
      <c r="J15" s="36">
        <f>(E14+C25*12)/42</f>
        <v>1</v>
      </c>
    </row>
    <row r="16" spans="2:10" ht="18.75" customHeight="1" thickBot="1" x14ac:dyDescent="0.3">
      <c r="B16" s="25" t="s">
        <v>82</v>
      </c>
      <c r="C16" s="30">
        <v>40</v>
      </c>
      <c r="D16" s="22"/>
      <c r="E16" s="5">
        <f t="shared" si="0"/>
        <v>40</v>
      </c>
      <c r="I16" s="24" t="s">
        <v>62</v>
      </c>
      <c r="J16" s="36">
        <f>(E15+C26*10)/75</f>
        <v>1</v>
      </c>
    </row>
    <row r="17" spans="2:10" ht="18.75" customHeight="1" thickBot="1" x14ac:dyDescent="0.3">
      <c r="I17" s="25" t="s">
        <v>54</v>
      </c>
      <c r="J17" s="37">
        <f>C16/40</f>
        <v>1</v>
      </c>
    </row>
    <row r="18" spans="2:10" ht="18.75" customHeight="1" thickBot="1" x14ac:dyDescent="0.3">
      <c r="H18" s="47"/>
    </row>
    <row r="19" spans="2:10" ht="18.75" customHeight="1" thickBot="1" x14ac:dyDescent="0.3">
      <c r="B19" s="38" t="s">
        <v>63</v>
      </c>
      <c r="C19" s="40" t="s">
        <v>67</v>
      </c>
      <c r="E19" s="67" t="s">
        <v>90</v>
      </c>
    </row>
    <row r="20" spans="2:10" ht="18.75" customHeight="1" x14ac:dyDescent="0.25">
      <c r="B20" s="3" t="s">
        <v>76</v>
      </c>
      <c r="C20" s="31">
        <v>1</v>
      </c>
      <c r="E20" s="68"/>
    </row>
    <row r="21" spans="2:10" ht="18.75" customHeight="1" x14ac:dyDescent="0.25">
      <c r="B21" s="3" t="s">
        <v>77</v>
      </c>
      <c r="C21" s="32">
        <v>1</v>
      </c>
      <c r="E21" s="68"/>
    </row>
    <row r="22" spans="2:10" ht="18.75" customHeight="1" x14ac:dyDescent="0.25">
      <c r="B22" s="3" t="s">
        <v>75</v>
      </c>
      <c r="C22" s="32">
        <v>1</v>
      </c>
      <c r="E22" s="68"/>
    </row>
    <row r="23" spans="2:10" ht="18.75" customHeight="1" thickBot="1" x14ac:dyDescent="0.3">
      <c r="B23" s="3" t="s">
        <v>81</v>
      </c>
      <c r="C23" s="32">
        <v>1</v>
      </c>
      <c r="E23" s="69"/>
    </row>
    <row r="24" spans="2:10" ht="18.75" customHeight="1" thickBot="1" x14ac:dyDescent="0.3">
      <c r="B24" s="3" t="s">
        <v>78</v>
      </c>
      <c r="C24" s="32">
        <v>1</v>
      </c>
      <c r="E24" s="46"/>
    </row>
    <row r="25" spans="2:10" ht="18.75" customHeight="1" x14ac:dyDescent="0.25">
      <c r="B25" s="3" t="s">
        <v>79</v>
      </c>
      <c r="C25" s="32">
        <v>1</v>
      </c>
      <c r="E25" s="53" t="s">
        <v>83</v>
      </c>
    </row>
    <row r="26" spans="2:10" ht="18.75" customHeight="1" thickBot="1" x14ac:dyDescent="0.3">
      <c r="B26" s="4" t="s">
        <v>80</v>
      </c>
      <c r="C26" s="33">
        <v>1</v>
      </c>
      <c r="E26" s="54"/>
    </row>
    <row r="27" spans="2:10" ht="18.75" customHeight="1" x14ac:dyDescent="0.25">
      <c r="E27" s="45"/>
    </row>
    <row r="28" spans="2:10" ht="18.75" customHeight="1" x14ac:dyDescent="0.25">
      <c r="E28" s="45"/>
    </row>
  </sheetData>
  <mergeCells count="6">
    <mergeCell ref="E25:E26"/>
    <mergeCell ref="I3:J3"/>
    <mergeCell ref="B3:E4"/>
    <mergeCell ref="G9:G10"/>
    <mergeCell ref="G7:G8"/>
    <mergeCell ref="E19:E23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92C07-51BA-47D8-AC1F-CF7AE0BAFDAA}">
  <dimension ref="B2:M26"/>
  <sheetViews>
    <sheetView workbookViewId="0">
      <selection activeCell="F13" sqref="F13"/>
    </sheetView>
  </sheetViews>
  <sheetFormatPr defaultRowHeight="15" x14ac:dyDescent="0.25"/>
  <cols>
    <col min="3" max="3" width="22.5703125" customWidth="1"/>
    <col min="4" max="4" width="26.7109375" customWidth="1"/>
    <col min="5" max="5" width="26.85546875" customWidth="1"/>
    <col min="6" max="6" width="26.5703125" customWidth="1"/>
    <col min="7" max="7" width="16" customWidth="1"/>
    <col min="9" max="9" width="23.140625" customWidth="1"/>
    <col min="10" max="10" width="7.85546875" customWidth="1"/>
    <col min="11" max="11" width="12.42578125" customWidth="1"/>
    <col min="12" max="12" width="19.28515625" customWidth="1"/>
    <col min="13" max="13" width="13.140625" customWidth="1"/>
    <col min="14" max="14" width="11.140625" customWidth="1"/>
    <col min="15" max="15" width="19.85546875" customWidth="1"/>
  </cols>
  <sheetData>
    <row r="2" spans="2:13" x14ac:dyDescent="0.25">
      <c r="C2" s="71"/>
      <c r="D2" s="71"/>
      <c r="E2" s="71"/>
      <c r="F2" s="71"/>
      <c r="G2" s="71"/>
      <c r="H2" s="71"/>
    </row>
    <row r="3" spans="2:13" ht="15.75" thickBot="1" x14ac:dyDescent="0.3">
      <c r="B3" s="71"/>
      <c r="C3" s="70"/>
      <c r="D3" s="70"/>
      <c r="E3" s="70"/>
      <c r="F3" s="70"/>
      <c r="G3" s="70"/>
      <c r="H3" s="71"/>
    </row>
    <row r="4" spans="2:13" ht="18.75" customHeight="1" thickBot="1" x14ac:dyDescent="0.3">
      <c r="C4" s="57" t="s">
        <v>91</v>
      </c>
      <c r="D4" s="58"/>
      <c r="E4" s="58"/>
      <c r="F4" s="58"/>
      <c r="G4" s="59"/>
      <c r="K4" s="55" t="s">
        <v>120</v>
      </c>
      <c r="L4" s="56"/>
    </row>
    <row r="5" spans="2:13" ht="18.75" customHeight="1" thickBot="1" x14ac:dyDescent="0.3">
      <c r="C5" s="60"/>
      <c r="D5" s="61"/>
      <c r="E5" s="61"/>
      <c r="F5" s="61"/>
      <c r="G5" s="62"/>
      <c r="K5" s="3" t="s">
        <v>94</v>
      </c>
      <c r="L5" s="73">
        <f>G7/16</f>
        <v>1</v>
      </c>
      <c r="M5" s="81" t="s">
        <v>126</v>
      </c>
    </row>
    <row r="6" spans="2:13" ht="18.75" customHeight="1" thickBot="1" x14ac:dyDescent="0.3">
      <c r="C6" s="78" t="s">
        <v>92</v>
      </c>
      <c r="D6" s="78" t="s">
        <v>107</v>
      </c>
      <c r="E6" s="78" t="s">
        <v>108</v>
      </c>
      <c r="F6" s="78" t="s">
        <v>109</v>
      </c>
      <c r="G6" s="78" t="s">
        <v>93</v>
      </c>
      <c r="K6" s="3" t="s">
        <v>95</v>
      </c>
      <c r="L6" s="74">
        <f>G8/19</f>
        <v>1</v>
      </c>
      <c r="M6" s="82"/>
    </row>
    <row r="7" spans="2:13" ht="18.75" customHeight="1" x14ac:dyDescent="0.25">
      <c r="C7" s="24" t="s">
        <v>110</v>
      </c>
      <c r="D7" s="21">
        <v>16</v>
      </c>
      <c r="E7" s="21"/>
      <c r="F7" s="21"/>
      <c r="G7" s="26">
        <f>MIN(MAX(D7, E7*0.8,F7*0.5), 16)</f>
        <v>16</v>
      </c>
      <c r="K7" s="3" t="s">
        <v>96</v>
      </c>
      <c r="L7" s="74">
        <f>G9/8</f>
        <v>1</v>
      </c>
      <c r="M7" s="82"/>
    </row>
    <row r="8" spans="2:13" ht="18.75" customHeight="1" thickBot="1" x14ac:dyDescent="0.3">
      <c r="C8" s="24" t="s">
        <v>111</v>
      </c>
      <c r="D8" s="21">
        <v>19</v>
      </c>
      <c r="E8" s="21"/>
      <c r="F8" s="21"/>
      <c r="G8" s="27">
        <f>MIN(MAX(D8, E8*0.8,F8*0.5), 19)</f>
        <v>19</v>
      </c>
      <c r="K8" s="3" t="s">
        <v>97</v>
      </c>
      <c r="L8" s="74">
        <f>G10/25</f>
        <v>1</v>
      </c>
      <c r="M8" s="82"/>
    </row>
    <row r="9" spans="2:13" ht="18.75" customHeight="1" x14ac:dyDescent="0.25">
      <c r="C9" s="24" t="s">
        <v>112</v>
      </c>
      <c r="D9" s="21">
        <v>8</v>
      </c>
      <c r="E9" s="21"/>
      <c r="F9" s="21"/>
      <c r="G9" s="27">
        <f>MIN(MAX(D9, E9*0.8,F9*0.5), 8)</f>
        <v>8</v>
      </c>
      <c r="I9" s="65" t="s">
        <v>121</v>
      </c>
      <c r="K9" s="3" t="s">
        <v>98</v>
      </c>
      <c r="L9" s="74">
        <f>G11/16</f>
        <v>1</v>
      </c>
      <c r="M9" s="82"/>
    </row>
    <row r="10" spans="2:13" ht="18.75" customHeight="1" thickBot="1" x14ac:dyDescent="0.3">
      <c r="C10" s="24" t="s">
        <v>122</v>
      </c>
      <c r="D10" s="21">
        <v>25</v>
      </c>
      <c r="E10" s="72"/>
      <c r="F10" s="72"/>
      <c r="G10" s="27">
        <f>MIN(D10, 25)</f>
        <v>25</v>
      </c>
      <c r="I10" s="66"/>
      <c r="K10" s="3" t="s">
        <v>99</v>
      </c>
      <c r="L10" s="74">
        <f>G12/35</f>
        <v>1</v>
      </c>
      <c r="M10" s="82"/>
    </row>
    <row r="11" spans="2:13" ht="18.75" customHeight="1" x14ac:dyDescent="0.25">
      <c r="C11" s="24" t="s">
        <v>113</v>
      </c>
      <c r="D11" s="21">
        <v>16</v>
      </c>
      <c r="E11" s="21"/>
      <c r="F11" s="21"/>
      <c r="G11" s="27">
        <f>MIN(MAX(D11, E11*0.8,F11*0.5), 16)</f>
        <v>16</v>
      </c>
      <c r="I11" s="76">
        <f>(SUM(L5:L17)-SMALL(L5:L14,1))/12</f>
        <v>1</v>
      </c>
      <c r="K11" s="3" t="s">
        <v>100</v>
      </c>
      <c r="L11" s="74">
        <f>G13/48</f>
        <v>1</v>
      </c>
      <c r="M11" s="82"/>
    </row>
    <row r="12" spans="2:13" ht="18.75" customHeight="1" thickBot="1" x14ac:dyDescent="0.3">
      <c r="C12" s="24" t="s">
        <v>123</v>
      </c>
      <c r="D12" s="21">
        <v>35</v>
      </c>
      <c r="E12" s="72"/>
      <c r="F12" s="72"/>
      <c r="G12" s="27">
        <f>MIN(D12, 35)</f>
        <v>35</v>
      </c>
      <c r="I12" s="77"/>
      <c r="K12" s="3" t="s">
        <v>102</v>
      </c>
      <c r="L12" s="74">
        <f>G15/1</f>
        <v>1</v>
      </c>
      <c r="M12" s="82"/>
    </row>
    <row r="13" spans="2:13" ht="18.75" customHeight="1" x14ac:dyDescent="0.25">
      <c r="C13" s="24" t="s">
        <v>114</v>
      </c>
      <c r="D13" s="21">
        <v>48</v>
      </c>
      <c r="E13" s="21"/>
      <c r="F13" s="21"/>
      <c r="G13" s="27">
        <f>MIN(MAX(D13, E13*0.8,F13*0.5), 48)</f>
        <v>48</v>
      </c>
      <c r="K13" s="3" t="s">
        <v>103</v>
      </c>
      <c r="L13" s="74">
        <f>G16/20</f>
        <v>1</v>
      </c>
      <c r="M13" s="82"/>
    </row>
    <row r="14" spans="2:13" ht="18.75" customHeight="1" thickBot="1" x14ac:dyDescent="0.3">
      <c r="C14" s="24" t="s">
        <v>124</v>
      </c>
      <c r="D14" s="21">
        <v>45</v>
      </c>
      <c r="E14" s="72"/>
      <c r="F14" s="72"/>
      <c r="G14" s="27">
        <f>MIN(D14, 45)</f>
        <v>45</v>
      </c>
      <c r="K14" s="3" t="s">
        <v>104</v>
      </c>
      <c r="L14" s="74">
        <f>G17/2</f>
        <v>1</v>
      </c>
      <c r="M14" s="83"/>
    </row>
    <row r="15" spans="2:13" ht="18.75" customHeight="1" x14ac:dyDescent="0.25">
      <c r="C15" s="24" t="s">
        <v>115</v>
      </c>
      <c r="D15" s="21">
        <v>1</v>
      </c>
      <c r="E15" s="21"/>
      <c r="F15" s="21"/>
      <c r="G15" s="27">
        <f>MIN(MAX(D15, E15*0.8,F15*0.5), 1)</f>
        <v>1</v>
      </c>
      <c r="I15" s="53" t="s">
        <v>83</v>
      </c>
      <c r="K15" s="3" t="s">
        <v>101</v>
      </c>
      <c r="L15" s="74">
        <f>G14/45</f>
        <v>1</v>
      </c>
      <c r="M15" s="84" t="s">
        <v>127</v>
      </c>
    </row>
    <row r="16" spans="2:13" ht="18.75" customHeight="1" thickBot="1" x14ac:dyDescent="0.3">
      <c r="C16" s="24" t="s">
        <v>116</v>
      </c>
      <c r="D16" s="21">
        <v>20</v>
      </c>
      <c r="E16" s="21"/>
      <c r="F16" s="21"/>
      <c r="G16" s="27">
        <f>MIN(MAX(D16, E16*0.8,F16*0.5), 20)</f>
        <v>20</v>
      </c>
      <c r="I16" s="54"/>
      <c r="K16" s="3" t="s">
        <v>105</v>
      </c>
      <c r="L16" s="74">
        <f>G18/2</f>
        <v>1</v>
      </c>
      <c r="M16" s="84"/>
    </row>
    <row r="17" spans="3:13" ht="18.75" customHeight="1" thickBot="1" x14ac:dyDescent="0.3">
      <c r="C17" s="24" t="s">
        <v>117</v>
      </c>
      <c r="D17" s="21">
        <v>2</v>
      </c>
      <c r="E17" s="21"/>
      <c r="F17" s="21"/>
      <c r="G17" s="27">
        <f>MIN(MAX(D17, E17*0.8,F17*0.5), 2)</f>
        <v>2</v>
      </c>
      <c r="K17" s="4" t="s">
        <v>106</v>
      </c>
      <c r="L17" s="75">
        <f>G19/10</f>
        <v>1</v>
      </c>
      <c r="M17" s="85"/>
    </row>
    <row r="18" spans="3:13" ht="18.75" customHeight="1" x14ac:dyDescent="0.25">
      <c r="C18" s="24" t="s">
        <v>118</v>
      </c>
      <c r="D18" s="21">
        <v>2</v>
      </c>
      <c r="E18" s="21"/>
      <c r="F18" s="21"/>
      <c r="G18" s="27">
        <f>MIN(MAX(D18, E18*0.8,F18*0.5), 2)</f>
        <v>2</v>
      </c>
    </row>
    <row r="19" spans="3:13" ht="18.75" customHeight="1" thickBot="1" x14ac:dyDescent="0.3">
      <c r="C19" s="25" t="s">
        <v>119</v>
      </c>
      <c r="D19" s="22">
        <v>10</v>
      </c>
      <c r="E19" s="22"/>
      <c r="F19" s="22"/>
      <c r="G19" s="5">
        <f>MIN(MAX(D19, E19*0.8,F19*0.5), 10)</f>
        <v>10</v>
      </c>
    </row>
    <row r="21" spans="3:13" ht="15.75" thickBot="1" x14ac:dyDescent="0.3"/>
    <row r="22" spans="3:13" x14ac:dyDescent="0.25">
      <c r="E22" s="67" t="s">
        <v>125</v>
      </c>
    </row>
    <row r="23" spans="3:13" x14ac:dyDescent="0.25">
      <c r="E23" s="68"/>
    </row>
    <row r="24" spans="3:13" x14ac:dyDescent="0.25">
      <c r="E24" s="68"/>
    </row>
    <row r="25" spans="3:13" x14ac:dyDescent="0.25">
      <c r="E25" s="68"/>
    </row>
    <row r="26" spans="3:13" ht="15.75" thickBot="1" x14ac:dyDescent="0.3">
      <c r="E26" s="69"/>
    </row>
  </sheetData>
  <mergeCells count="9">
    <mergeCell ref="E22:E26"/>
    <mergeCell ref="M5:M14"/>
    <mergeCell ref="M15:M17"/>
    <mergeCell ref="K4:L4"/>
    <mergeCell ref="I9:I10"/>
    <mergeCell ref="I11:I12"/>
    <mergeCell ref="I15:I16"/>
    <mergeCell ref="C4:G5"/>
    <mergeCell ref="C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CALCULATOR</vt:lpstr>
      <vt:lpstr>HW AVG CALCULATOR</vt:lpstr>
      <vt:lpstr>LAB AVG 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Petrock, Logan Connor</dc:creator>
  <cp:lastModifiedBy>Petrock, Logan Connor</cp:lastModifiedBy>
  <dcterms:created xsi:type="dcterms:W3CDTF">2025-12-04T08:31:26Z</dcterms:created>
  <dcterms:modified xsi:type="dcterms:W3CDTF">2025-12-08T02:41:58Z</dcterms:modified>
</cp:coreProperties>
</file>